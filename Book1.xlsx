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dicslevente/MEGA/polymarket-bot-/"/>
    </mc:Choice>
  </mc:AlternateContent>
  <xr:revisionPtr revIDLastSave="0" documentId="8_{3B3CEBE4-4014-8D44-8367-D8E7203FDF06}" xr6:coauthVersionLast="47" xr6:coauthVersionMax="47" xr10:uidLastSave="{00000000-0000-0000-0000-000000000000}"/>
  <bookViews>
    <workbookView xWindow="2780" yWindow="1500" windowWidth="28040" windowHeight="17440" xr2:uid="{B7BD7666-7092-8943-A19D-27AC7D21943A}"/>
  </bookViews>
  <sheets>
    <sheet name="Book1" sheetId="1" r:id="rId1"/>
  </sheets>
  <definedNames>
    <definedName name="trades" localSheetId="0">Book1!$A$1:$P$40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K5" i="1" s="1"/>
  <c r="L5" i="1" s="1"/>
  <c r="K6" i="1" s="1"/>
  <c r="L6" i="1" s="1"/>
  <c r="K7" i="1" s="1"/>
  <c r="L7" i="1" s="1"/>
  <c r="K8" i="1" s="1"/>
  <c r="L8" i="1" s="1"/>
  <c r="K9" i="1" s="1"/>
  <c r="L9" i="1" s="1"/>
  <c r="K10" i="1" s="1"/>
  <c r="L10" i="1" s="1"/>
  <c r="K11" i="1" s="1"/>
  <c r="L11" i="1" s="1"/>
  <c r="K12" i="1" s="1"/>
  <c r="L12" i="1" s="1"/>
  <c r="K13" i="1" s="1"/>
  <c r="L13" i="1" s="1"/>
  <c r="K14" i="1" s="1"/>
  <c r="L14" i="1" s="1"/>
  <c r="K15" i="1" s="1"/>
  <c r="L15" i="1" s="1"/>
  <c r="K16" i="1" s="1"/>
  <c r="L16" i="1" s="1"/>
  <c r="K17" i="1" s="1"/>
  <c r="L17" i="1" s="1"/>
  <c r="K18" i="1" s="1"/>
  <c r="L18" i="1" s="1"/>
  <c r="K19" i="1" s="1"/>
  <c r="L19" i="1" s="1"/>
  <c r="K20" i="1" s="1"/>
  <c r="L20" i="1" s="1"/>
  <c r="K21" i="1" s="1"/>
  <c r="L21" i="1" s="1"/>
  <c r="K22" i="1" s="1"/>
  <c r="L22" i="1" s="1"/>
  <c r="K23" i="1" s="1"/>
  <c r="L23" i="1" s="1"/>
  <c r="K24" i="1" s="1"/>
  <c r="L24" i="1" s="1"/>
  <c r="K25" i="1" s="1"/>
  <c r="L25" i="1" s="1"/>
  <c r="K26" i="1" s="1"/>
  <c r="L26" i="1" s="1"/>
  <c r="K27" i="1" s="1"/>
  <c r="L27" i="1" s="1"/>
  <c r="K28" i="1" s="1"/>
  <c r="L28" i="1" s="1"/>
  <c r="K29" i="1" s="1"/>
  <c r="L29" i="1" s="1"/>
  <c r="K30" i="1" s="1"/>
  <c r="L30" i="1" s="1"/>
  <c r="K31" i="1" s="1"/>
  <c r="L31" i="1" s="1"/>
  <c r="K32" i="1" s="1"/>
  <c r="L32" i="1" s="1"/>
  <c r="K33" i="1" s="1"/>
  <c r="L33" i="1" s="1"/>
  <c r="K34" i="1" s="1"/>
  <c r="L34" i="1" s="1"/>
  <c r="K35" i="1" s="1"/>
  <c r="L35" i="1" s="1"/>
  <c r="K36" i="1" s="1"/>
  <c r="L36" i="1" s="1"/>
  <c r="K37" i="1" s="1"/>
  <c r="L37" i="1" s="1"/>
  <c r="K38" i="1" s="1"/>
  <c r="L38" i="1" s="1"/>
  <c r="K39" i="1" s="1"/>
  <c r="L39" i="1" s="1"/>
  <c r="K40" i="1" s="1"/>
  <c r="L40" i="1" s="1"/>
  <c r="L3" i="1"/>
  <c r="K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FE6756-20B8-814D-99AC-632B2DEBF175}" name="trades" type="6" refreshedVersion="8" background="1" saveData="1">
    <textPr fileType="mac" sourceFile="/Users/dudicslevente/MEGA/polymarket-bot-/trades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<sst xmlns="http://schemas.openxmlformats.org/spreadsheetml/2006/main" count="250" uniqueCount="138">
  <si>
    <t>timestamp</t>
  </si>
  <si>
    <t>trade_id</t>
  </si>
  <si>
    <t>market_id</t>
  </si>
  <si>
    <t>market_question</t>
  </si>
  <si>
    <t>side</t>
  </si>
  <si>
    <t>entry_odds</t>
  </si>
  <si>
    <t>fair_probability</t>
  </si>
  <si>
    <t>edge</t>
  </si>
  <si>
    <t>btc_price</t>
  </si>
  <si>
    <t>bet_size</t>
  </si>
  <si>
    <t>balance_before</t>
  </si>
  <si>
    <t>balance_after</t>
  </si>
  <si>
    <t>outcome</t>
  </si>
  <si>
    <t>payout</t>
  </si>
  <si>
    <t>profit_loss</t>
  </si>
  <si>
    <t>mode</t>
  </si>
  <si>
    <t>2026-01-05T16:00:05.664159+00:00</t>
  </si>
  <si>
    <t>T1767628805664</t>
  </si>
  <si>
    <t>Bitcoin Up or Down - January 5, 11:00AM-11:15AM ET</t>
  </si>
  <si>
    <t>UP</t>
  </si>
  <si>
    <t>WIN</t>
  </si>
  <si>
    <t>TEST</t>
  </si>
  <si>
    <t>2026-01-05T18:00:17.042979+00:00</t>
  </si>
  <si>
    <t>T1767636017042</t>
  </si>
  <si>
    <t>Bitcoin Up or Down - January 5, 1:00PM-1:15PM ET</t>
  </si>
  <si>
    <t>LOSS</t>
  </si>
  <si>
    <t>2026-01-06T01:30:10.163892+00:00</t>
  </si>
  <si>
    <t>T1767663010163</t>
  </si>
  <si>
    <t>Bitcoin Up or Down - January 5, 8:30PM-8:45PM ET</t>
  </si>
  <si>
    <t>2026-01-06T14:47:45.836305+00:00</t>
  </si>
  <si>
    <t>T1767710865836</t>
  </si>
  <si>
    <t>Bitcoin Up or Down - January 6, 9:45AM-10:00AM ET</t>
  </si>
  <si>
    <t>DOWN</t>
  </si>
  <si>
    <t>2026-01-06T15:46:01.224850+00:00</t>
  </si>
  <si>
    <t>T1767714361224</t>
  </si>
  <si>
    <t>Bitcoin Up or Down - January 6, 10:45AM-11:00AM ET</t>
  </si>
  <si>
    <t>2026-01-06T17:30:02.532840+00:00</t>
  </si>
  <si>
    <t>T1767720602532</t>
  </si>
  <si>
    <t>Bitcoin Up or Down - January 6, 12:30PM-12:45PM ET</t>
  </si>
  <si>
    <t>2026-01-06T18:00:03.637094+00:00</t>
  </si>
  <si>
    <t>T1767722403637</t>
  </si>
  <si>
    <t>Bitcoin Up or Down - January 6, 1:00PM-1:15PM ET</t>
  </si>
  <si>
    <t>2026-01-06T18:15:04.311152+00:00</t>
  </si>
  <si>
    <t>T1767723304311</t>
  </si>
  <si>
    <t>Bitcoin Up or Down - January 6, 1:15PM-1:30PM ET</t>
  </si>
  <si>
    <t>2026-01-06T21:31:27.409353+00:00</t>
  </si>
  <si>
    <t>T1767735087409</t>
  </si>
  <si>
    <t>Bitcoin Up or Down - January 6, 4:30PM-4:45PM ET</t>
  </si>
  <si>
    <t>2026-01-07T01:00:03.726161+00:00</t>
  </si>
  <si>
    <t>T1767747603726</t>
  </si>
  <si>
    <t>Bitcoin Up or Down - January 6, 8:00PM-8:15PM ET</t>
  </si>
  <si>
    <t>2026-01-07T01:15:32.366215+00:00</t>
  </si>
  <si>
    <t>T1767748532366</t>
  </si>
  <si>
    <t>Bitcoin Up or Down - January 6, 8:15PM-8:30PM ET</t>
  </si>
  <si>
    <t>2026-01-07T04:18:00.080132+00:00</t>
  </si>
  <si>
    <t>T1767759480080</t>
  </si>
  <si>
    <t>Bitcoin Up or Down - January 6, 11:15PM-11:30PM ET</t>
  </si>
  <si>
    <t>2026-01-07T05:46:12.374485+00:00</t>
  </si>
  <si>
    <t>T1767764772374</t>
  </si>
  <si>
    <t>Bitcoin Up or Down - January 7, 12:45AM-1:00AM ET</t>
  </si>
  <si>
    <t>2026-01-07T09:00:49.262460+00:00</t>
  </si>
  <si>
    <t>T1767776449262</t>
  </si>
  <si>
    <t>Bitcoin Up or Down - January 7, 4:00AM-4:15AM ET</t>
  </si>
  <si>
    <t>2026-01-07T10:02:05.468087+00:00</t>
  </si>
  <si>
    <t>T1767780125468</t>
  </si>
  <si>
    <t>Bitcoin Up or Down - January 7, 5:00AM-5:15AM ET</t>
  </si>
  <si>
    <t>2026-01-07T14:01:49.882609+00:00</t>
  </si>
  <si>
    <t>T1767794509882</t>
  </si>
  <si>
    <t>Bitcoin Up or Down - January 7, 9:00AM-9:15AM ET</t>
  </si>
  <si>
    <t>2026-01-07T14:31:30.263337+00:00</t>
  </si>
  <si>
    <t>T1767796290263</t>
  </si>
  <si>
    <t>Bitcoin Up or Down - January 7, 9:30AM-9:45AM ET</t>
  </si>
  <si>
    <t>2026-01-07T15:02:22.527478+00:00</t>
  </si>
  <si>
    <t>T1767798142527</t>
  </si>
  <si>
    <t>Bitcoin Up or Down - January 7, 10:00AM-10:15AM ET</t>
  </si>
  <si>
    <t>2026-01-07T15:16:14.066762+00:00</t>
  </si>
  <si>
    <t>T1767798974066</t>
  </si>
  <si>
    <t>Bitcoin Up or Down - January 7, 10:15AM-10:30AM ET</t>
  </si>
  <si>
    <t>2026-01-07T15:31:02.540339+00:00</t>
  </si>
  <si>
    <t>T1767799862540</t>
  </si>
  <si>
    <t>Bitcoin Up or Down - January 7, 10:30AM-10:45AM ET</t>
  </si>
  <si>
    <t>2026-01-07T15:46:40.414782+00:00</t>
  </si>
  <si>
    <t>T1767800800414</t>
  </si>
  <si>
    <t>Bitcoin Up or Down - January 7, 10:45AM-11:00AM ET</t>
  </si>
  <si>
    <t>2026-01-07T18:01:32.588683+00:00</t>
  </si>
  <si>
    <t>T1767808892588</t>
  </si>
  <si>
    <t>Bitcoin Up or Down - January 7, 1:00PM-1:15PM ET</t>
  </si>
  <si>
    <t>2026-01-07T18:15:18.660952+00:00</t>
  </si>
  <si>
    <t>T1767809718660</t>
  </si>
  <si>
    <t>Bitcoin Up or Down - January 7, 1:15PM-1:30PM ET</t>
  </si>
  <si>
    <t>2026-01-07T19:17:15.788913+00:00</t>
  </si>
  <si>
    <t>T1767813435788</t>
  </si>
  <si>
    <t>Bitcoin Up or Down - January 7, 2:15PM-2:30PM ET</t>
  </si>
  <si>
    <t>2026-01-07T20:02:02.225856+00:00</t>
  </si>
  <si>
    <t>T1767816122225</t>
  </si>
  <si>
    <t>Bitcoin Up or Down - January 7, 3:00PM-3:15PM ET</t>
  </si>
  <si>
    <t>2026-01-07T20:45:13.607135+00:00</t>
  </si>
  <si>
    <t>T1767818713607</t>
  </si>
  <si>
    <t>Bitcoin Up or Down - January 7, 3:45PM-4:00PM ET</t>
  </si>
  <si>
    <t>2026-01-08T02:46:46.901959+00:00</t>
  </si>
  <si>
    <t>T1767840406901</t>
  </si>
  <si>
    <t>Bitcoin Up or Down - January 7, 9:45PM-10:00PM ET</t>
  </si>
  <si>
    <t>2026-01-08T07:01:10.615100+00:00</t>
  </si>
  <si>
    <t>T1767855670615</t>
  </si>
  <si>
    <t>Bitcoin Up or Down - January 8, 2:00AM-2:15AM ET</t>
  </si>
  <si>
    <t>2026-01-08T10:02:49.350553+00:00</t>
  </si>
  <si>
    <t>T1767866569350</t>
  </si>
  <si>
    <t>Bitcoin Up or Down - January 8, 5:00AM-5:15AM ET</t>
  </si>
  <si>
    <t>2026-01-08T13:32:32.429233+00:00</t>
  </si>
  <si>
    <t>T1767879152429</t>
  </si>
  <si>
    <t>Bitcoin Up or Down - January 8, 8:30AM-8:45AM ET</t>
  </si>
  <si>
    <t>2026-01-08T15:01:02.474959+00:00</t>
  </si>
  <si>
    <t>T1767884462474</t>
  </si>
  <si>
    <t>Bitcoin Up or Down - January 8, 10:00AM-10:15AM ET</t>
  </si>
  <si>
    <t>2026-01-08T16:00:09.028839+00:00</t>
  </si>
  <si>
    <t>T1767888009028</t>
  </si>
  <si>
    <t>Bitcoin Up or Down - January 8, 11:00AM-11:15AM ET</t>
  </si>
  <si>
    <t>2026-01-08T16:15:53.019290+00:00</t>
  </si>
  <si>
    <t>T1767888953019</t>
  </si>
  <si>
    <t>Bitcoin Up or Down - January 8, 11:15AM-11:30AM ET</t>
  </si>
  <si>
    <t>2026-01-08T16:32:41.093400+00:00</t>
  </si>
  <si>
    <t>T1767889961093</t>
  </si>
  <si>
    <t>Bitcoin Up or Down - January 8, 11:30AM-11:45AM ET</t>
  </si>
  <si>
    <t>2026-01-08T17:01:42.000002+00:00</t>
  </si>
  <si>
    <t>T1767891702000</t>
  </si>
  <si>
    <t>Bitcoin Up or Down - January 8, 12:00PM-12:15PM ET</t>
  </si>
  <si>
    <t>2026-01-08T17:32:01.630657+00:00</t>
  </si>
  <si>
    <t>T1767893521630</t>
  </si>
  <si>
    <t>Bitcoin Up or Down - January 8, 12:30PM-12:45PM ET</t>
  </si>
  <si>
    <t>2026-01-08T17:47:12.436852+00:00</t>
  </si>
  <si>
    <t>T1767894432436</t>
  </si>
  <si>
    <t>Bitcoin Up or Down - January 8, 12:45PM-1:00PM ET</t>
  </si>
  <si>
    <t>2026-01-08T19:17:14.953497+00:00</t>
  </si>
  <si>
    <t>T1767899834953</t>
  </si>
  <si>
    <t>Bitcoin Up or Down - January 8, 2:15PM-2:30PM ET</t>
  </si>
  <si>
    <t>2026-01-08T19:45:59.558040+00:00</t>
  </si>
  <si>
    <t>T1767901559558</t>
  </si>
  <si>
    <t>Bitcoin Up or Down - January 8, 2:45PM-3:00PM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</si>
</sst>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des" connectionId="1" xr16:uid="{381A452A-8EF7-274E-A17E-4C81DB65B8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E6FA-7916-1B46-840D-58EEA33CA730}">
  <dimension ref="A1:P40"/>
  <sheetViews>
    <sheetView tabSelected="1" workbookViewId="0">
      <selection activeCell="Q6" sqref="Q6"/>
    </sheetView>
  </sheetViews>
  <sheetFormatPr baseColWidth="10" defaultRowHeight="16" x14ac:dyDescent="0.2"/>
  <cols>
    <col min="1" max="1" width="30.83203125" bestFit="1" customWidth="1"/>
    <col min="2" max="2" width="15" bestFit="1" customWidth="1"/>
    <col min="3" max="3" width="9.1640625" bestFit="1" customWidth="1"/>
    <col min="4" max="4" width="44" bestFit="1" customWidth="1"/>
    <col min="5" max="5" width="6.83203125" bestFit="1" customWidth="1"/>
    <col min="6" max="6" width="10" bestFit="1" customWidth="1"/>
    <col min="7" max="7" width="13.33203125" bestFit="1" customWidth="1"/>
    <col min="8" max="8" width="6.1640625" bestFit="1" customWidth="1"/>
    <col min="9" max="9" width="9.1640625" bestFit="1" customWidth="1"/>
    <col min="10" max="10" width="7.83203125" bestFit="1" customWidth="1"/>
    <col min="11" max="11" width="13.6640625" bestFit="1" customWidth="1"/>
    <col min="12" max="12" width="12.33203125" bestFit="1" customWidth="1"/>
    <col min="13" max="13" width="8.33203125" bestFit="1" customWidth="1"/>
    <col min="14" max="14" width="6.6640625" bestFit="1" customWidth="1"/>
    <col min="15" max="15" width="9.5" bestFit="1" customWidth="1"/>
    <col min="16" max="16" width="5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1105274</v>
      </c>
      <c r="D2" t="s">
        <v>18</v>
      </c>
      <c r="E2" t="s">
        <v>19</v>
      </c>
      <c r="F2">
        <v>0.47499999999999998</v>
      </c>
      <c r="G2">
        <v>0.52</v>
      </c>
      <c r="H2">
        <v>4.4999999999999998E-2</v>
      </c>
      <c r="I2">
        <v>93966.64</v>
      </c>
      <c r="J2">
        <v>3</v>
      </c>
      <c r="K2">
        <v>100</v>
      </c>
      <c r="L2">
        <v>103.25</v>
      </c>
      <c r="M2" t="s">
        <v>20</v>
      </c>
      <c r="N2">
        <v>6.25</v>
      </c>
      <c r="O2">
        <v>3.25</v>
      </c>
      <c r="P2" t="s">
        <v>21</v>
      </c>
    </row>
    <row r="3" spans="1:16" x14ac:dyDescent="0.2">
      <c r="A3" t="s">
        <v>22</v>
      </c>
      <c r="B3" t="s">
        <v>23</v>
      </c>
      <c r="C3">
        <v>1106034</v>
      </c>
      <c r="D3" t="s">
        <v>24</v>
      </c>
      <c r="E3" t="s">
        <v>19</v>
      </c>
      <c r="F3">
        <v>0.51</v>
      </c>
      <c r="G3">
        <v>0.55000000000000004</v>
      </c>
      <c r="H3">
        <v>0.04</v>
      </c>
      <c r="I3">
        <v>94391</v>
      </c>
      <c r="J3">
        <v>3</v>
      </c>
      <c r="K3">
        <f>L2</f>
        <v>103.25</v>
      </c>
      <c r="L3">
        <f>K3+O3</f>
        <v>100.25</v>
      </c>
      <c r="M3" t="s">
        <v>25</v>
      </c>
      <c r="N3">
        <v>0</v>
      </c>
      <c r="O3">
        <v>-3</v>
      </c>
      <c r="P3" t="s">
        <v>21</v>
      </c>
    </row>
    <row r="4" spans="1:16" x14ac:dyDescent="0.2">
      <c r="A4" t="s">
        <v>26</v>
      </c>
      <c r="B4" t="s">
        <v>27</v>
      </c>
      <c r="C4">
        <v>1111080</v>
      </c>
      <c r="D4" t="s">
        <v>28</v>
      </c>
      <c r="E4" t="s">
        <v>19</v>
      </c>
      <c r="F4">
        <v>0.47</v>
      </c>
      <c r="G4">
        <v>0.52</v>
      </c>
      <c r="H4">
        <v>0.05</v>
      </c>
      <c r="I4">
        <v>94109.65</v>
      </c>
      <c r="J4">
        <v>3</v>
      </c>
      <c r="K4">
        <f t="shared" ref="K4:K40" si="0">L3</f>
        <v>100.25</v>
      </c>
      <c r="L4">
        <f t="shared" ref="L4:L40" si="1">K4+O4</f>
        <v>97.25</v>
      </c>
      <c r="M4" t="s">
        <v>25</v>
      </c>
      <c r="N4">
        <v>0</v>
      </c>
      <c r="O4">
        <v>-3</v>
      </c>
      <c r="P4" t="s">
        <v>21</v>
      </c>
    </row>
    <row r="5" spans="1:16" x14ac:dyDescent="0.2">
      <c r="A5" t="s">
        <v>29</v>
      </c>
      <c r="B5" t="s">
        <v>30</v>
      </c>
      <c r="C5">
        <v>1114210</v>
      </c>
      <c r="D5" t="s">
        <v>31</v>
      </c>
      <c r="E5" t="s">
        <v>32</v>
      </c>
      <c r="F5">
        <v>0.505</v>
      </c>
      <c r="G5">
        <v>0.55000000000000004</v>
      </c>
      <c r="H5">
        <v>4.4999999999999998E-2</v>
      </c>
      <c r="I5">
        <v>93890.01</v>
      </c>
      <c r="J5">
        <v>2.91</v>
      </c>
      <c r="K5">
        <f t="shared" si="0"/>
        <v>97.25</v>
      </c>
      <c r="L5">
        <f t="shared" si="1"/>
        <v>100.04</v>
      </c>
      <c r="M5" t="s">
        <v>20</v>
      </c>
      <c r="N5">
        <v>5.7</v>
      </c>
      <c r="O5">
        <v>2.79</v>
      </c>
      <c r="P5" t="s">
        <v>21</v>
      </c>
    </row>
    <row r="6" spans="1:16" x14ac:dyDescent="0.2">
      <c r="A6" t="s">
        <v>33</v>
      </c>
      <c r="B6" t="s">
        <v>34</v>
      </c>
      <c r="C6">
        <v>1114470</v>
      </c>
      <c r="D6" t="s">
        <v>35</v>
      </c>
      <c r="E6" t="s">
        <v>32</v>
      </c>
      <c r="F6">
        <v>0.46500000000000002</v>
      </c>
      <c r="G6">
        <v>0.52</v>
      </c>
      <c r="H6">
        <v>5.5E-2</v>
      </c>
      <c r="I6">
        <v>93352.01</v>
      </c>
      <c r="J6">
        <v>2.99</v>
      </c>
      <c r="K6">
        <f t="shared" si="0"/>
        <v>100.04</v>
      </c>
      <c r="L6">
        <f t="shared" si="1"/>
        <v>103.42</v>
      </c>
      <c r="M6" t="s">
        <v>20</v>
      </c>
      <c r="N6">
        <v>6.37</v>
      </c>
      <c r="O6">
        <v>3.38</v>
      </c>
      <c r="P6" t="s">
        <v>21</v>
      </c>
    </row>
    <row r="7" spans="1:16" x14ac:dyDescent="0.2">
      <c r="A7" t="s">
        <v>36</v>
      </c>
      <c r="B7" t="s">
        <v>37</v>
      </c>
      <c r="C7">
        <v>1115294</v>
      </c>
      <c r="D7" t="s">
        <v>38</v>
      </c>
      <c r="E7" t="s">
        <v>32</v>
      </c>
      <c r="F7">
        <v>0.48499999999999999</v>
      </c>
      <c r="G7">
        <v>0.52</v>
      </c>
      <c r="H7">
        <v>3.5000000000000003E-2</v>
      </c>
      <c r="I7">
        <v>92517.15</v>
      </c>
      <c r="J7">
        <v>3</v>
      </c>
      <c r="K7">
        <f t="shared" si="0"/>
        <v>103.42</v>
      </c>
      <c r="L7">
        <f t="shared" si="1"/>
        <v>100.42</v>
      </c>
      <c r="M7" t="s">
        <v>25</v>
      </c>
      <c r="N7">
        <v>0</v>
      </c>
      <c r="O7">
        <v>-3</v>
      </c>
      <c r="P7" t="s">
        <v>21</v>
      </c>
    </row>
    <row r="8" spans="1:16" x14ac:dyDescent="0.2">
      <c r="A8" t="s">
        <v>39</v>
      </c>
      <c r="B8" t="s">
        <v>40</v>
      </c>
      <c r="C8">
        <v>1115400</v>
      </c>
      <c r="D8" t="s">
        <v>41</v>
      </c>
      <c r="E8" t="s">
        <v>32</v>
      </c>
      <c r="F8">
        <v>0.435</v>
      </c>
      <c r="G8">
        <v>0.52</v>
      </c>
      <c r="H8">
        <v>8.5000000000000006E-2</v>
      </c>
      <c r="I8">
        <v>91536.4</v>
      </c>
      <c r="J8">
        <v>2.91</v>
      </c>
      <c r="K8">
        <f t="shared" si="0"/>
        <v>100.42</v>
      </c>
      <c r="L8">
        <f t="shared" si="1"/>
        <v>97.51</v>
      </c>
      <c r="M8" t="s">
        <v>25</v>
      </c>
      <c r="N8">
        <v>0</v>
      </c>
      <c r="O8">
        <v>-2.91</v>
      </c>
      <c r="P8" t="s">
        <v>21</v>
      </c>
    </row>
    <row r="9" spans="1:16" x14ac:dyDescent="0.2">
      <c r="A9" t="s">
        <v>42</v>
      </c>
      <c r="B9" t="s">
        <v>43</v>
      </c>
      <c r="C9">
        <v>1115424</v>
      </c>
      <c r="D9" t="s">
        <v>44</v>
      </c>
      <c r="E9" t="s">
        <v>32</v>
      </c>
      <c r="F9">
        <v>0.45500000000000002</v>
      </c>
      <c r="G9">
        <v>0.52</v>
      </c>
      <c r="H9">
        <v>6.5000000000000002E-2</v>
      </c>
      <c r="I9">
        <v>91822.93</v>
      </c>
      <c r="J9">
        <v>2.82</v>
      </c>
      <c r="K9">
        <f t="shared" si="0"/>
        <v>97.51</v>
      </c>
      <c r="L9">
        <f t="shared" si="1"/>
        <v>94.690000000000012</v>
      </c>
      <c r="M9" t="s">
        <v>25</v>
      </c>
      <c r="N9">
        <v>0</v>
      </c>
      <c r="O9">
        <v>-2.82</v>
      </c>
      <c r="P9" t="s">
        <v>21</v>
      </c>
    </row>
    <row r="10" spans="1:16" x14ac:dyDescent="0.2">
      <c r="A10" t="s">
        <v>45</v>
      </c>
      <c r="B10" t="s">
        <v>46</v>
      </c>
      <c r="C10">
        <v>1116559</v>
      </c>
      <c r="D10" t="s">
        <v>47</v>
      </c>
      <c r="E10" t="s">
        <v>19</v>
      </c>
      <c r="F10">
        <v>0.46500000000000002</v>
      </c>
      <c r="G10">
        <v>0.52</v>
      </c>
      <c r="H10">
        <v>5.5E-2</v>
      </c>
      <c r="I10">
        <v>93560.69</v>
      </c>
      <c r="J10">
        <v>2.74</v>
      </c>
      <c r="K10">
        <f t="shared" si="0"/>
        <v>94.690000000000012</v>
      </c>
      <c r="L10">
        <f t="shared" si="1"/>
        <v>91.950000000000017</v>
      </c>
      <c r="M10" t="s">
        <v>25</v>
      </c>
      <c r="N10">
        <v>0</v>
      </c>
      <c r="O10">
        <v>-2.74</v>
      </c>
      <c r="P10" t="s">
        <v>21</v>
      </c>
    </row>
    <row r="11" spans="1:16" x14ac:dyDescent="0.2">
      <c r="A11" t="s">
        <v>48</v>
      </c>
      <c r="B11" t="s">
        <v>49</v>
      </c>
      <c r="C11">
        <v>1118147</v>
      </c>
      <c r="D11" t="s">
        <v>50</v>
      </c>
      <c r="E11" t="s">
        <v>32</v>
      </c>
      <c r="F11">
        <v>0.48499999999999999</v>
      </c>
      <c r="G11">
        <v>0.52</v>
      </c>
      <c r="H11">
        <v>3.5000000000000003E-2</v>
      </c>
      <c r="I11">
        <v>92712.37</v>
      </c>
      <c r="J11">
        <v>2.66</v>
      </c>
      <c r="K11">
        <f t="shared" si="0"/>
        <v>91.950000000000017</v>
      </c>
      <c r="L11">
        <f t="shared" si="1"/>
        <v>89.29000000000002</v>
      </c>
      <c r="M11" t="s">
        <v>25</v>
      </c>
      <c r="N11">
        <v>0</v>
      </c>
      <c r="O11">
        <v>-2.66</v>
      </c>
      <c r="P11" t="s">
        <v>21</v>
      </c>
    </row>
    <row r="12" spans="1:16" x14ac:dyDescent="0.2">
      <c r="A12" t="s">
        <v>51</v>
      </c>
      <c r="B12" t="s">
        <v>52</v>
      </c>
      <c r="C12">
        <v>1118341</v>
      </c>
      <c r="D12" t="s">
        <v>53</v>
      </c>
      <c r="E12" t="s">
        <v>32</v>
      </c>
      <c r="F12">
        <v>0.495</v>
      </c>
      <c r="G12">
        <v>0.55000000000000004</v>
      </c>
      <c r="H12">
        <v>5.5E-2</v>
      </c>
      <c r="I12">
        <v>92606.84</v>
      </c>
      <c r="J12">
        <v>2.58</v>
      </c>
      <c r="K12">
        <f t="shared" si="0"/>
        <v>89.29000000000002</v>
      </c>
      <c r="L12">
        <f t="shared" si="1"/>
        <v>86.710000000000022</v>
      </c>
      <c r="M12" t="s">
        <v>25</v>
      </c>
      <c r="N12">
        <v>0</v>
      </c>
      <c r="O12">
        <v>-2.58</v>
      </c>
      <c r="P12" t="s">
        <v>21</v>
      </c>
    </row>
    <row r="13" spans="1:16" x14ac:dyDescent="0.2">
      <c r="A13" t="s">
        <v>54</v>
      </c>
      <c r="B13" t="s">
        <v>55</v>
      </c>
      <c r="C13">
        <v>1119208</v>
      </c>
      <c r="D13" t="s">
        <v>56</v>
      </c>
      <c r="E13" t="s">
        <v>32</v>
      </c>
      <c r="F13">
        <v>0.48499999999999999</v>
      </c>
      <c r="G13">
        <v>0.52</v>
      </c>
      <c r="H13">
        <v>3.5000000000000003E-2</v>
      </c>
      <c r="I13">
        <v>92688.65</v>
      </c>
      <c r="J13">
        <v>2.5</v>
      </c>
      <c r="K13">
        <f t="shared" si="0"/>
        <v>86.710000000000022</v>
      </c>
      <c r="L13">
        <f t="shared" si="1"/>
        <v>84.210000000000022</v>
      </c>
      <c r="M13" t="s">
        <v>25</v>
      </c>
      <c r="N13">
        <v>0</v>
      </c>
      <c r="O13">
        <v>-2.5</v>
      </c>
      <c r="P13" t="s">
        <v>21</v>
      </c>
    </row>
    <row r="14" spans="1:16" x14ac:dyDescent="0.2">
      <c r="A14" t="s">
        <v>57</v>
      </c>
      <c r="B14" t="s">
        <v>58</v>
      </c>
      <c r="C14">
        <v>1119683</v>
      </c>
      <c r="D14" t="s">
        <v>59</v>
      </c>
      <c r="E14" t="s">
        <v>32</v>
      </c>
      <c r="F14">
        <v>0.48499999999999999</v>
      </c>
      <c r="G14">
        <v>0.52</v>
      </c>
      <c r="H14">
        <v>3.5000000000000003E-2</v>
      </c>
      <c r="I14">
        <v>92623.34</v>
      </c>
      <c r="J14">
        <v>2.42</v>
      </c>
      <c r="K14">
        <f t="shared" si="0"/>
        <v>84.210000000000022</v>
      </c>
      <c r="L14">
        <f t="shared" si="1"/>
        <v>81.79000000000002</v>
      </c>
      <c r="M14" t="s">
        <v>25</v>
      </c>
      <c r="N14">
        <v>0</v>
      </c>
      <c r="O14">
        <v>-2.42</v>
      </c>
      <c r="P14" t="s">
        <v>21</v>
      </c>
    </row>
    <row r="15" spans="1:16" x14ac:dyDescent="0.2">
      <c r="A15" t="s">
        <v>60</v>
      </c>
      <c r="B15" t="s">
        <v>61</v>
      </c>
      <c r="C15">
        <v>1120510</v>
      </c>
      <c r="D15" t="s">
        <v>62</v>
      </c>
      <c r="E15" t="s">
        <v>32</v>
      </c>
      <c r="F15">
        <v>0.48499999999999999</v>
      </c>
      <c r="G15">
        <v>0.52</v>
      </c>
      <c r="H15">
        <v>3.5000000000000003E-2</v>
      </c>
      <c r="I15">
        <v>92635.35</v>
      </c>
      <c r="J15">
        <v>2.35</v>
      </c>
      <c r="K15">
        <f t="shared" si="0"/>
        <v>81.79000000000002</v>
      </c>
      <c r="L15">
        <f t="shared" si="1"/>
        <v>84.240000000000023</v>
      </c>
      <c r="M15" t="s">
        <v>20</v>
      </c>
      <c r="N15">
        <v>4.8</v>
      </c>
      <c r="O15">
        <v>2.4500000000000002</v>
      </c>
      <c r="P15" t="s">
        <v>21</v>
      </c>
    </row>
    <row r="16" spans="1:16" x14ac:dyDescent="0.2">
      <c r="A16" t="s">
        <v>63</v>
      </c>
      <c r="B16" t="s">
        <v>64</v>
      </c>
      <c r="C16">
        <v>1120660</v>
      </c>
      <c r="D16" t="s">
        <v>65</v>
      </c>
      <c r="E16" t="s">
        <v>32</v>
      </c>
      <c r="F16">
        <v>0.45500000000000002</v>
      </c>
      <c r="G16">
        <v>0.52</v>
      </c>
      <c r="H16">
        <v>6.5000000000000002E-2</v>
      </c>
      <c r="I16">
        <v>91600.01</v>
      </c>
      <c r="J16">
        <v>2.42</v>
      </c>
      <c r="K16">
        <f t="shared" si="0"/>
        <v>84.240000000000023</v>
      </c>
      <c r="L16">
        <f t="shared" si="1"/>
        <v>87.090000000000018</v>
      </c>
      <c r="M16" t="s">
        <v>20</v>
      </c>
      <c r="N16">
        <v>5.27</v>
      </c>
      <c r="O16">
        <v>2.85</v>
      </c>
      <c r="P16" t="s">
        <v>21</v>
      </c>
    </row>
    <row r="17" spans="1:16" x14ac:dyDescent="0.2">
      <c r="A17" t="s">
        <v>66</v>
      </c>
      <c r="B17" t="s">
        <v>67</v>
      </c>
      <c r="C17">
        <v>1121554</v>
      </c>
      <c r="D17" t="s">
        <v>68</v>
      </c>
      <c r="E17" t="s">
        <v>32</v>
      </c>
      <c r="F17">
        <v>0.47499999999999998</v>
      </c>
      <c r="G17">
        <v>0.52</v>
      </c>
      <c r="H17">
        <v>4.4999999999999998E-2</v>
      </c>
      <c r="I17">
        <v>91918.59</v>
      </c>
      <c r="J17">
        <v>2.5099999999999998</v>
      </c>
      <c r="K17">
        <f t="shared" si="0"/>
        <v>87.090000000000018</v>
      </c>
      <c r="L17">
        <f t="shared" si="1"/>
        <v>89.810000000000016</v>
      </c>
      <c r="M17" t="s">
        <v>20</v>
      </c>
      <c r="N17">
        <v>5.23</v>
      </c>
      <c r="O17">
        <v>2.72</v>
      </c>
      <c r="P17" t="s">
        <v>21</v>
      </c>
    </row>
    <row r="18" spans="1:16" x14ac:dyDescent="0.2">
      <c r="A18" t="s">
        <v>69</v>
      </c>
      <c r="B18" t="s">
        <v>70</v>
      </c>
      <c r="C18">
        <v>1121701</v>
      </c>
      <c r="D18" t="s">
        <v>71</v>
      </c>
      <c r="E18" t="s">
        <v>32</v>
      </c>
      <c r="F18">
        <v>0.45</v>
      </c>
      <c r="G18">
        <v>0.52</v>
      </c>
      <c r="H18">
        <v>7.0000000000000007E-2</v>
      </c>
      <c r="I18">
        <v>91410.21</v>
      </c>
      <c r="J18">
        <v>2.59</v>
      </c>
      <c r="K18">
        <f t="shared" si="0"/>
        <v>89.810000000000016</v>
      </c>
      <c r="L18">
        <f t="shared" si="1"/>
        <v>87.220000000000013</v>
      </c>
      <c r="M18" t="s">
        <v>25</v>
      </c>
      <c r="N18">
        <v>0</v>
      </c>
      <c r="O18">
        <v>-2.59</v>
      </c>
      <c r="P18" t="s">
        <v>21</v>
      </c>
    </row>
    <row r="19" spans="1:16" x14ac:dyDescent="0.2">
      <c r="A19" t="s">
        <v>72</v>
      </c>
      <c r="B19" t="s">
        <v>73</v>
      </c>
      <c r="C19">
        <v>1121763</v>
      </c>
      <c r="D19" t="s">
        <v>74</v>
      </c>
      <c r="E19" t="s">
        <v>32</v>
      </c>
      <c r="F19">
        <v>0.505</v>
      </c>
      <c r="G19">
        <v>0.55000000000000004</v>
      </c>
      <c r="H19">
        <v>4.4999999999999998E-2</v>
      </c>
      <c r="I19">
        <v>91496.91</v>
      </c>
      <c r="J19">
        <v>2.5099999999999998</v>
      </c>
      <c r="K19">
        <f t="shared" si="0"/>
        <v>87.220000000000013</v>
      </c>
      <c r="L19">
        <f t="shared" si="1"/>
        <v>89.63000000000001</v>
      </c>
      <c r="M19" t="s">
        <v>20</v>
      </c>
      <c r="N19">
        <v>4.92</v>
      </c>
      <c r="O19">
        <v>2.41</v>
      </c>
      <c r="P19" t="s">
        <v>21</v>
      </c>
    </row>
    <row r="20" spans="1:16" x14ac:dyDescent="0.2">
      <c r="A20" t="s">
        <v>75</v>
      </c>
      <c r="B20" t="s">
        <v>76</v>
      </c>
      <c r="C20">
        <v>1121776</v>
      </c>
      <c r="D20" t="s">
        <v>77</v>
      </c>
      <c r="E20" t="s">
        <v>32</v>
      </c>
      <c r="F20">
        <v>0.505</v>
      </c>
      <c r="G20">
        <v>0.55000000000000004</v>
      </c>
      <c r="H20">
        <v>4.4999999999999998E-2</v>
      </c>
      <c r="I20">
        <v>91482.42</v>
      </c>
      <c r="J20">
        <v>2.44</v>
      </c>
      <c r="K20">
        <f t="shared" si="0"/>
        <v>89.63000000000001</v>
      </c>
      <c r="L20">
        <f t="shared" si="1"/>
        <v>87.190000000000012</v>
      </c>
      <c r="M20" t="s">
        <v>25</v>
      </c>
      <c r="N20">
        <v>0</v>
      </c>
      <c r="O20">
        <v>-2.44</v>
      </c>
      <c r="P20" t="s">
        <v>21</v>
      </c>
    </row>
    <row r="21" spans="1:16" x14ac:dyDescent="0.2">
      <c r="A21" t="s">
        <v>78</v>
      </c>
      <c r="B21" t="s">
        <v>79</v>
      </c>
      <c r="C21">
        <v>1121980</v>
      </c>
      <c r="D21" t="s">
        <v>80</v>
      </c>
      <c r="E21" t="s">
        <v>32</v>
      </c>
      <c r="F21">
        <v>0.47499999999999998</v>
      </c>
      <c r="G21">
        <v>0.52</v>
      </c>
      <c r="H21">
        <v>4.4999999999999998E-2</v>
      </c>
      <c r="I21">
        <v>91158.99</v>
      </c>
      <c r="J21">
        <v>2.5099999999999998</v>
      </c>
      <c r="K21">
        <f t="shared" si="0"/>
        <v>87.190000000000012</v>
      </c>
      <c r="L21">
        <f t="shared" si="1"/>
        <v>89.910000000000011</v>
      </c>
      <c r="M21" t="s">
        <v>20</v>
      </c>
      <c r="N21">
        <v>5.23</v>
      </c>
      <c r="O21">
        <v>2.72</v>
      </c>
      <c r="P21" t="s">
        <v>21</v>
      </c>
    </row>
    <row r="22" spans="1:16" x14ac:dyDescent="0.2">
      <c r="A22" t="s">
        <v>81</v>
      </c>
      <c r="B22" t="s">
        <v>82</v>
      </c>
      <c r="C22">
        <v>1122087</v>
      </c>
      <c r="D22" t="s">
        <v>83</v>
      </c>
      <c r="E22" t="s">
        <v>32</v>
      </c>
      <c r="F22">
        <v>0.48499999999999999</v>
      </c>
      <c r="G22">
        <v>0.52</v>
      </c>
      <c r="H22">
        <v>3.5000000000000003E-2</v>
      </c>
      <c r="I22">
        <v>91281.08</v>
      </c>
      <c r="J22">
        <v>2.59</v>
      </c>
      <c r="K22">
        <f t="shared" si="0"/>
        <v>89.910000000000011</v>
      </c>
      <c r="L22">
        <f t="shared" si="1"/>
        <v>92.610000000000014</v>
      </c>
      <c r="M22" t="s">
        <v>20</v>
      </c>
      <c r="N22">
        <v>5.29</v>
      </c>
      <c r="O22">
        <v>2.7</v>
      </c>
      <c r="P22" t="s">
        <v>21</v>
      </c>
    </row>
    <row r="23" spans="1:16" x14ac:dyDescent="0.2">
      <c r="A23" t="s">
        <v>84</v>
      </c>
      <c r="B23" t="s">
        <v>85</v>
      </c>
      <c r="C23">
        <v>1123564</v>
      </c>
      <c r="D23" t="s">
        <v>86</v>
      </c>
      <c r="E23" t="s">
        <v>32</v>
      </c>
      <c r="F23">
        <v>0.47499999999999998</v>
      </c>
      <c r="G23">
        <v>0.52</v>
      </c>
      <c r="H23">
        <v>4.4999999999999998E-2</v>
      </c>
      <c r="I23">
        <v>91178.74</v>
      </c>
      <c r="J23">
        <v>3</v>
      </c>
      <c r="K23">
        <f t="shared" si="0"/>
        <v>92.610000000000014</v>
      </c>
      <c r="L23">
        <f t="shared" si="1"/>
        <v>89.610000000000014</v>
      </c>
      <c r="M23" t="s">
        <v>25</v>
      </c>
      <c r="N23">
        <v>0</v>
      </c>
      <c r="O23">
        <v>-3</v>
      </c>
      <c r="P23" t="s">
        <v>21</v>
      </c>
    </row>
    <row r="24" spans="1:16" x14ac:dyDescent="0.2">
      <c r="A24" t="s">
        <v>87</v>
      </c>
      <c r="B24" t="s">
        <v>88</v>
      </c>
      <c r="C24">
        <v>1123579</v>
      </c>
      <c r="D24" t="s">
        <v>89</v>
      </c>
      <c r="E24" t="s">
        <v>32</v>
      </c>
      <c r="F24">
        <v>0.48499999999999999</v>
      </c>
      <c r="G24">
        <v>0.52</v>
      </c>
      <c r="H24">
        <v>3.5000000000000003E-2</v>
      </c>
      <c r="I24">
        <v>91213.55</v>
      </c>
      <c r="J24">
        <v>2.91</v>
      </c>
      <c r="K24">
        <f t="shared" si="0"/>
        <v>89.610000000000014</v>
      </c>
      <c r="L24">
        <f t="shared" si="1"/>
        <v>92.640000000000015</v>
      </c>
      <c r="M24" t="s">
        <v>20</v>
      </c>
      <c r="N24">
        <v>5.94</v>
      </c>
      <c r="O24">
        <v>3.03</v>
      </c>
      <c r="P24" t="s">
        <v>21</v>
      </c>
    </row>
    <row r="25" spans="1:16" x14ac:dyDescent="0.2">
      <c r="A25" t="s">
        <v>90</v>
      </c>
      <c r="B25" t="s">
        <v>91</v>
      </c>
      <c r="C25">
        <v>1123980</v>
      </c>
      <c r="D25" t="s">
        <v>92</v>
      </c>
      <c r="E25" t="s">
        <v>32</v>
      </c>
      <c r="F25">
        <v>0.46500000000000002</v>
      </c>
      <c r="G25">
        <v>0.52</v>
      </c>
      <c r="H25">
        <v>5.5E-2</v>
      </c>
      <c r="I25">
        <v>90688.01</v>
      </c>
      <c r="J25">
        <v>3</v>
      </c>
      <c r="K25">
        <f t="shared" si="0"/>
        <v>92.640000000000015</v>
      </c>
      <c r="L25">
        <f t="shared" si="1"/>
        <v>96.030000000000015</v>
      </c>
      <c r="M25" t="s">
        <v>20</v>
      </c>
      <c r="N25">
        <v>6.39</v>
      </c>
      <c r="O25">
        <v>3.39</v>
      </c>
      <c r="P25" t="s">
        <v>21</v>
      </c>
    </row>
    <row r="26" spans="1:16" x14ac:dyDescent="0.2">
      <c r="A26" t="s">
        <v>93</v>
      </c>
      <c r="B26" t="s">
        <v>94</v>
      </c>
      <c r="C26">
        <v>1124306</v>
      </c>
      <c r="D26" t="s">
        <v>95</v>
      </c>
      <c r="E26" t="s">
        <v>19</v>
      </c>
      <c r="F26">
        <v>0.47499999999999998</v>
      </c>
      <c r="G26">
        <v>0.52</v>
      </c>
      <c r="H26">
        <v>4.4999999999999998E-2</v>
      </c>
      <c r="I26">
        <v>91293.49</v>
      </c>
      <c r="J26">
        <v>3.1</v>
      </c>
      <c r="K26">
        <f t="shared" si="0"/>
        <v>96.030000000000015</v>
      </c>
      <c r="L26">
        <f t="shared" si="1"/>
        <v>99.390000000000015</v>
      </c>
      <c r="M26" t="s">
        <v>20</v>
      </c>
      <c r="N26">
        <v>6.46</v>
      </c>
      <c r="O26">
        <v>3.36</v>
      </c>
      <c r="P26" t="s">
        <v>21</v>
      </c>
    </row>
    <row r="27" spans="1:16" x14ac:dyDescent="0.2">
      <c r="A27" t="s">
        <v>96</v>
      </c>
      <c r="B27" t="s">
        <v>97</v>
      </c>
      <c r="C27">
        <v>1124792</v>
      </c>
      <c r="D27" t="s">
        <v>98</v>
      </c>
      <c r="E27" t="s">
        <v>32</v>
      </c>
      <c r="F27">
        <v>0.48499999999999999</v>
      </c>
      <c r="G27">
        <v>0.52</v>
      </c>
      <c r="H27">
        <v>3.5000000000000003E-2</v>
      </c>
      <c r="I27">
        <v>91000.46</v>
      </c>
      <c r="J27">
        <v>3.2</v>
      </c>
      <c r="K27">
        <f t="shared" si="0"/>
        <v>99.390000000000015</v>
      </c>
      <c r="L27">
        <f t="shared" si="1"/>
        <v>102.72000000000001</v>
      </c>
      <c r="M27" t="s">
        <v>20</v>
      </c>
      <c r="N27">
        <v>6.53</v>
      </c>
      <c r="O27">
        <v>3.33</v>
      </c>
      <c r="P27" t="s">
        <v>21</v>
      </c>
    </row>
    <row r="28" spans="1:16" x14ac:dyDescent="0.2">
      <c r="A28" t="s">
        <v>99</v>
      </c>
      <c r="B28" t="s">
        <v>100</v>
      </c>
      <c r="C28">
        <v>1126706</v>
      </c>
      <c r="D28" t="s">
        <v>101</v>
      </c>
      <c r="E28" t="s">
        <v>32</v>
      </c>
      <c r="F28">
        <v>0.45500000000000002</v>
      </c>
      <c r="G28">
        <v>0.52</v>
      </c>
      <c r="H28">
        <v>6.5000000000000002E-2</v>
      </c>
      <c r="I28">
        <v>90792.01</v>
      </c>
      <c r="J28">
        <v>3.3</v>
      </c>
      <c r="K28">
        <f t="shared" si="0"/>
        <v>102.72000000000001</v>
      </c>
      <c r="L28">
        <f t="shared" si="1"/>
        <v>99.420000000000016</v>
      </c>
      <c r="M28" t="s">
        <v>25</v>
      </c>
      <c r="N28">
        <v>0</v>
      </c>
      <c r="O28">
        <v>-3.3</v>
      </c>
      <c r="P28" t="s">
        <v>21</v>
      </c>
    </row>
    <row r="29" spans="1:16" x14ac:dyDescent="0.2">
      <c r="A29" t="s">
        <v>102</v>
      </c>
      <c r="B29" t="s">
        <v>103</v>
      </c>
      <c r="C29">
        <v>1127680</v>
      </c>
      <c r="D29" t="s">
        <v>104</v>
      </c>
      <c r="E29" t="s">
        <v>32</v>
      </c>
      <c r="F29">
        <v>0.47499999999999998</v>
      </c>
      <c r="G29">
        <v>0.52</v>
      </c>
      <c r="H29">
        <v>4.4999999999999998E-2</v>
      </c>
      <c r="I29">
        <v>89917.94</v>
      </c>
      <c r="J29">
        <v>3.2</v>
      </c>
      <c r="K29">
        <f t="shared" si="0"/>
        <v>99.420000000000016</v>
      </c>
      <c r="L29">
        <f t="shared" si="1"/>
        <v>102.89000000000001</v>
      </c>
      <c r="M29" t="s">
        <v>20</v>
      </c>
      <c r="N29">
        <v>6.67</v>
      </c>
      <c r="O29">
        <v>3.47</v>
      </c>
      <c r="P29" t="s">
        <v>21</v>
      </c>
    </row>
    <row r="30" spans="1:16" x14ac:dyDescent="0.2">
      <c r="A30" t="s">
        <v>105</v>
      </c>
      <c r="B30" t="s">
        <v>106</v>
      </c>
      <c r="C30">
        <v>1128175</v>
      </c>
      <c r="D30" t="s">
        <v>107</v>
      </c>
      <c r="E30" t="s">
        <v>32</v>
      </c>
      <c r="F30">
        <v>0.495</v>
      </c>
      <c r="G30">
        <v>0.55000000000000004</v>
      </c>
      <c r="H30">
        <v>5.5E-2</v>
      </c>
      <c r="I30">
        <v>89826.4</v>
      </c>
      <c r="J30">
        <v>3.31</v>
      </c>
      <c r="K30">
        <f t="shared" si="0"/>
        <v>102.89000000000001</v>
      </c>
      <c r="L30">
        <f t="shared" si="1"/>
        <v>106.20000000000002</v>
      </c>
      <c r="M30" t="s">
        <v>20</v>
      </c>
      <c r="N30">
        <v>6.62</v>
      </c>
      <c r="O30">
        <v>3.31</v>
      </c>
      <c r="P30" t="s">
        <v>21</v>
      </c>
    </row>
    <row r="31" spans="1:16" x14ac:dyDescent="0.2">
      <c r="A31" t="s">
        <v>108</v>
      </c>
      <c r="B31" t="s">
        <v>109</v>
      </c>
      <c r="C31">
        <v>1128882</v>
      </c>
      <c r="D31" t="s">
        <v>110</v>
      </c>
      <c r="E31" t="s">
        <v>32</v>
      </c>
      <c r="F31">
        <v>0.48499999999999999</v>
      </c>
      <c r="G31">
        <v>0.52</v>
      </c>
      <c r="H31">
        <v>3.5000000000000003E-2</v>
      </c>
      <c r="I31">
        <v>89974.69</v>
      </c>
      <c r="J31">
        <v>3.41</v>
      </c>
      <c r="K31">
        <f t="shared" si="0"/>
        <v>106.20000000000002</v>
      </c>
      <c r="L31">
        <f t="shared" si="1"/>
        <v>109.75000000000001</v>
      </c>
      <c r="M31" t="s">
        <v>20</v>
      </c>
      <c r="N31">
        <v>6.96</v>
      </c>
      <c r="O31">
        <v>3.55</v>
      </c>
      <c r="P31" t="s">
        <v>21</v>
      </c>
    </row>
    <row r="32" spans="1:16" x14ac:dyDescent="0.2">
      <c r="A32" t="s">
        <v>111</v>
      </c>
      <c r="B32" t="s">
        <v>112</v>
      </c>
      <c r="C32">
        <v>1129150</v>
      </c>
      <c r="D32" t="s">
        <v>113</v>
      </c>
      <c r="E32" t="s">
        <v>32</v>
      </c>
      <c r="F32">
        <v>0.47499999999999998</v>
      </c>
      <c r="G32">
        <v>0.52</v>
      </c>
      <c r="H32">
        <v>4.4999999999999998E-2</v>
      </c>
      <c r="I32">
        <v>89911.24</v>
      </c>
      <c r="J32">
        <v>3.51</v>
      </c>
      <c r="K32">
        <f t="shared" si="0"/>
        <v>109.75000000000001</v>
      </c>
      <c r="L32">
        <f t="shared" si="1"/>
        <v>113.56000000000002</v>
      </c>
      <c r="M32" t="s">
        <v>20</v>
      </c>
      <c r="N32">
        <v>7.32</v>
      </c>
      <c r="O32">
        <v>3.81</v>
      </c>
      <c r="P32" t="s">
        <v>21</v>
      </c>
    </row>
    <row r="33" spans="1:16" x14ac:dyDescent="0.2">
      <c r="A33" t="s">
        <v>114</v>
      </c>
      <c r="B33" t="s">
        <v>115</v>
      </c>
      <c r="C33">
        <v>1129307</v>
      </c>
      <c r="D33" t="s">
        <v>116</v>
      </c>
      <c r="E33" t="s">
        <v>19</v>
      </c>
      <c r="F33">
        <v>0.495</v>
      </c>
      <c r="G33">
        <v>0.55000000000000004</v>
      </c>
      <c r="H33">
        <v>5.5E-2</v>
      </c>
      <c r="I33">
        <v>90830.47</v>
      </c>
      <c r="J33">
        <v>3.63</v>
      </c>
      <c r="K33">
        <f t="shared" si="0"/>
        <v>113.56000000000002</v>
      </c>
      <c r="L33">
        <f t="shared" si="1"/>
        <v>117.19000000000001</v>
      </c>
      <c r="M33" t="s">
        <v>20</v>
      </c>
      <c r="N33">
        <v>7.26</v>
      </c>
      <c r="O33">
        <v>3.63</v>
      </c>
      <c r="P33" t="s">
        <v>21</v>
      </c>
    </row>
    <row r="34" spans="1:16" x14ac:dyDescent="0.2">
      <c r="A34" t="s">
        <v>117</v>
      </c>
      <c r="B34" t="s">
        <v>118</v>
      </c>
      <c r="C34">
        <v>1129327</v>
      </c>
      <c r="D34" t="s">
        <v>119</v>
      </c>
      <c r="E34" t="s">
        <v>32</v>
      </c>
      <c r="F34">
        <v>0.51500000000000001</v>
      </c>
      <c r="G34">
        <v>0.55000000000000004</v>
      </c>
      <c r="H34">
        <v>3.5000000000000003E-2</v>
      </c>
      <c r="I34">
        <v>90582.91</v>
      </c>
      <c r="J34">
        <v>3.74</v>
      </c>
      <c r="K34">
        <f t="shared" si="0"/>
        <v>117.19000000000001</v>
      </c>
      <c r="L34">
        <f t="shared" si="1"/>
        <v>120.64000000000001</v>
      </c>
      <c r="M34" t="s">
        <v>20</v>
      </c>
      <c r="N34">
        <v>7.19</v>
      </c>
      <c r="O34">
        <v>3.45</v>
      </c>
      <c r="P34" t="s">
        <v>21</v>
      </c>
    </row>
    <row r="35" spans="1:16" x14ac:dyDescent="0.2">
      <c r="A35" t="s">
        <v>120</v>
      </c>
      <c r="B35" t="s">
        <v>121</v>
      </c>
      <c r="C35">
        <v>1129513</v>
      </c>
      <c r="D35" t="s">
        <v>122</v>
      </c>
      <c r="E35" t="s">
        <v>32</v>
      </c>
      <c r="F35">
        <v>0.495</v>
      </c>
      <c r="G35">
        <v>0.55000000000000004</v>
      </c>
      <c r="H35">
        <v>5.5E-2</v>
      </c>
      <c r="I35">
        <v>90474.01</v>
      </c>
      <c r="J35">
        <v>3.84</v>
      </c>
      <c r="K35">
        <f t="shared" si="0"/>
        <v>120.64000000000001</v>
      </c>
      <c r="L35">
        <f t="shared" si="1"/>
        <v>116.80000000000001</v>
      </c>
      <c r="M35" t="s">
        <v>25</v>
      </c>
      <c r="N35">
        <v>0</v>
      </c>
      <c r="O35">
        <v>-3.84</v>
      </c>
      <c r="P35" t="s">
        <v>21</v>
      </c>
    </row>
    <row r="36" spans="1:16" x14ac:dyDescent="0.2">
      <c r="A36" t="s">
        <v>123</v>
      </c>
      <c r="B36" t="s">
        <v>124</v>
      </c>
      <c r="C36">
        <v>1129668</v>
      </c>
      <c r="D36" t="s">
        <v>125</v>
      </c>
      <c r="E36" t="s">
        <v>19</v>
      </c>
      <c r="F36">
        <v>0.48499999999999999</v>
      </c>
      <c r="G36">
        <v>0.52</v>
      </c>
      <c r="H36">
        <v>3.5000000000000003E-2</v>
      </c>
      <c r="I36">
        <v>90897.31</v>
      </c>
      <c r="J36">
        <v>3.73</v>
      </c>
      <c r="K36">
        <f t="shared" si="0"/>
        <v>116.80000000000001</v>
      </c>
      <c r="L36">
        <f t="shared" si="1"/>
        <v>120.68</v>
      </c>
      <c r="M36" t="s">
        <v>20</v>
      </c>
      <c r="N36">
        <v>7.61</v>
      </c>
      <c r="O36">
        <v>3.88</v>
      </c>
      <c r="P36" t="s">
        <v>21</v>
      </c>
    </row>
    <row r="37" spans="1:16" x14ac:dyDescent="0.2">
      <c r="A37" t="s">
        <v>126</v>
      </c>
      <c r="B37" t="s">
        <v>127</v>
      </c>
      <c r="C37">
        <v>1129873</v>
      </c>
      <c r="D37" t="s">
        <v>128</v>
      </c>
      <c r="E37" t="s">
        <v>19</v>
      </c>
      <c r="F37">
        <v>0.48499999999999999</v>
      </c>
      <c r="G37">
        <v>0.52</v>
      </c>
      <c r="H37">
        <v>3.5000000000000003E-2</v>
      </c>
      <c r="I37">
        <v>90974.43</v>
      </c>
      <c r="J37">
        <v>3.84</v>
      </c>
      <c r="K37">
        <f t="shared" si="0"/>
        <v>120.68</v>
      </c>
      <c r="L37">
        <f t="shared" si="1"/>
        <v>116.84</v>
      </c>
      <c r="M37" t="s">
        <v>25</v>
      </c>
      <c r="N37">
        <v>0</v>
      </c>
      <c r="O37">
        <v>-3.84</v>
      </c>
      <c r="P37" t="s">
        <v>21</v>
      </c>
    </row>
    <row r="38" spans="1:16" x14ac:dyDescent="0.2">
      <c r="A38" t="s">
        <v>129</v>
      </c>
      <c r="B38" t="s">
        <v>130</v>
      </c>
      <c r="C38">
        <v>1129952</v>
      </c>
      <c r="D38" t="s">
        <v>131</v>
      </c>
      <c r="E38" t="s">
        <v>19</v>
      </c>
      <c r="F38">
        <v>0.46500000000000002</v>
      </c>
      <c r="G38">
        <v>0.52</v>
      </c>
      <c r="H38">
        <v>5.5E-2</v>
      </c>
      <c r="I38">
        <v>91312.48</v>
      </c>
      <c r="J38">
        <v>3.73</v>
      </c>
      <c r="K38">
        <f t="shared" si="0"/>
        <v>116.84</v>
      </c>
      <c r="L38">
        <f t="shared" si="1"/>
        <v>113.11</v>
      </c>
      <c r="M38" t="s">
        <v>25</v>
      </c>
      <c r="N38">
        <v>0</v>
      </c>
      <c r="O38">
        <v>-3.73</v>
      </c>
      <c r="P38" t="s">
        <v>21</v>
      </c>
    </row>
    <row r="39" spans="1:16" x14ac:dyDescent="0.2">
      <c r="A39" t="s">
        <v>132</v>
      </c>
      <c r="B39" t="s">
        <v>133</v>
      </c>
      <c r="C39">
        <v>1130436</v>
      </c>
      <c r="D39" t="s">
        <v>134</v>
      </c>
      <c r="E39" t="s">
        <v>32</v>
      </c>
      <c r="F39">
        <v>0.495</v>
      </c>
      <c r="G39">
        <v>0.55000000000000004</v>
      </c>
      <c r="H39">
        <v>5.5E-2</v>
      </c>
      <c r="I39">
        <v>90999.16</v>
      </c>
      <c r="J39">
        <v>3.61</v>
      </c>
      <c r="K39">
        <f t="shared" si="0"/>
        <v>113.11</v>
      </c>
      <c r="L39">
        <f t="shared" si="1"/>
        <v>116.72</v>
      </c>
      <c r="M39" t="s">
        <v>20</v>
      </c>
      <c r="N39">
        <v>7.22</v>
      </c>
      <c r="O39">
        <v>3.61</v>
      </c>
      <c r="P39" t="s">
        <v>21</v>
      </c>
    </row>
    <row r="40" spans="1:16" x14ac:dyDescent="0.2">
      <c r="A40" t="s">
        <v>135</v>
      </c>
      <c r="B40" t="s">
        <v>136</v>
      </c>
      <c r="C40">
        <v>1130828</v>
      </c>
      <c r="D40" t="s">
        <v>137</v>
      </c>
      <c r="E40" t="s">
        <v>32</v>
      </c>
      <c r="F40">
        <v>0.48499999999999999</v>
      </c>
      <c r="G40">
        <v>0.52</v>
      </c>
      <c r="H40">
        <v>3.5000000000000003E-2</v>
      </c>
      <c r="I40">
        <v>91127.17</v>
      </c>
      <c r="J40">
        <v>3.72</v>
      </c>
      <c r="K40">
        <f t="shared" si="0"/>
        <v>116.72</v>
      </c>
      <c r="L40">
        <f t="shared" si="1"/>
        <v>120.59</v>
      </c>
      <c r="M40" t="s">
        <v>20</v>
      </c>
      <c r="N40">
        <v>7.59</v>
      </c>
      <c r="O40">
        <v>3.87</v>
      </c>
      <c r="P4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Book1</vt:lpstr>
      <vt:lpstr>Book1!trades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dudicslevente@sulid.hu</dc:creator>
  <cp:lastModifiedBy>dudicslevente@sulid.hu</cp:lastModifiedBy>
  <dcterms:created xsi:type="dcterms:W3CDTF">2026-01-08T20:02:49Z</dcterms:created>
  <dcterms:modified xsi:type="dcterms:W3CDTF">2026-01-08T20:06:19Z</dcterms:modified>
</cp:coreProperties>
</file>